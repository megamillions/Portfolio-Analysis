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15315" windowHeight="12090"/>
  </bookViews>
  <sheets>
    <sheet name="stocks" sheetId="1" r:id="rId1"/>
  </sheets>
  <calcPr calcId="145621"/>
</workbook>
</file>

<file path=xl/calcChain.xml><?xml version="1.0" encoding="utf-8"?>
<calcChain xmlns="http://schemas.openxmlformats.org/spreadsheetml/2006/main">
  <c r="M2" i="1" l="1"/>
  <c r="O2" i="1"/>
  <c r="R2" i="1" l="1"/>
  <c r="P2" i="1" l="1"/>
  <c r="S61" i="1"/>
  <c r="T61" i="1"/>
  <c r="P61" i="1"/>
  <c r="Q61" i="1"/>
  <c r="M61" i="1"/>
  <c r="N61" i="1"/>
  <c r="N38" i="1" l="1"/>
  <c r="Q38" i="1"/>
  <c r="S38" i="1"/>
  <c r="T38" i="1"/>
  <c r="N39" i="1"/>
  <c r="Q39" i="1"/>
  <c r="S39" i="1"/>
  <c r="T39" i="1"/>
  <c r="N40" i="1"/>
  <c r="Q40" i="1"/>
  <c r="S40" i="1"/>
  <c r="T40" i="1"/>
  <c r="P39" i="1" l="1"/>
  <c r="P38" i="1"/>
  <c r="P40" i="1"/>
  <c r="M39" i="1" l="1"/>
  <c r="M40" i="1"/>
  <c r="M38" i="1"/>
  <c r="N13" i="1"/>
  <c r="Q13" i="1"/>
  <c r="T13" i="1"/>
  <c r="P13" i="1" l="1"/>
  <c r="M13" i="1"/>
  <c r="M42" i="1"/>
  <c r="N42" i="1"/>
  <c r="Q42" i="1"/>
  <c r="T42" i="1"/>
  <c r="N41" i="1"/>
  <c r="Q41" i="1"/>
  <c r="T41" i="1"/>
  <c r="N43" i="1"/>
  <c r="Q43" i="1"/>
  <c r="T43" i="1"/>
  <c r="P42" i="1" l="1"/>
  <c r="P43" i="1"/>
  <c r="P41" i="1"/>
  <c r="M41" i="1"/>
  <c r="M43" i="1"/>
  <c r="N2" i="1"/>
  <c r="M11" i="1" l="1"/>
  <c r="T5" i="1"/>
  <c r="T6" i="1"/>
  <c r="T7" i="1"/>
  <c r="T8" i="1"/>
  <c r="T9" i="1"/>
  <c r="T10" i="1"/>
  <c r="T11" i="1"/>
  <c r="T12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44" i="1"/>
  <c r="T45" i="1"/>
  <c r="T46" i="1"/>
  <c r="S47" i="1"/>
  <c r="T47" i="1"/>
  <c r="S48" i="1"/>
  <c r="T48" i="1"/>
  <c r="S49" i="1"/>
  <c r="T49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2" i="1"/>
  <c r="T62" i="1"/>
  <c r="T4" i="1"/>
  <c r="T3" i="1"/>
  <c r="U2" i="1"/>
  <c r="S2" i="1" s="1"/>
  <c r="S13" i="1" s="1"/>
  <c r="M4" i="1"/>
  <c r="N4" i="1"/>
  <c r="Q4" i="1"/>
  <c r="M5" i="1"/>
  <c r="N5" i="1"/>
  <c r="Q5" i="1"/>
  <c r="M6" i="1"/>
  <c r="N6" i="1"/>
  <c r="Q6" i="1"/>
  <c r="N7" i="1"/>
  <c r="Q7" i="1"/>
  <c r="M8" i="1"/>
  <c r="N8" i="1"/>
  <c r="M9" i="1"/>
  <c r="N9" i="1"/>
  <c r="Q9" i="1"/>
  <c r="N10" i="1"/>
  <c r="Q10" i="1"/>
  <c r="N11" i="1"/>
  <c r="Q11" i="1"/>
  <c r="M12" i="1"/>
  <c r="N12" i="1"/>
  <c r="Q12" i="1"/>
  <c r="M14" i="1"/>
  <c r="P14" i="1"/>
  <c r="N14" i="1"/>
  <c r="Q14" i="1"/>
  <c r="N15" i="1"/>
  <c r="Q15" i="1"/>
  <c r="N16" i="1"/>
  <c r="Q16" i="1"/>
  <c r="N17" i="1"/>
  <c r="Q17" i="1"/>
  <c r="M18" i="1"/>
  <c r="P18" i="1"/>
  <c r="N18" i="1"/>
  <c r="Q18" i="1"/>
  <c r="N19" i="1"/>
  <c r="Q19" i="1"/>
  <c r="N20" i="1"/>
  <c r="Q20" i="1"/>
  <c r="N21" i="1"/>
  <c r="Q21" i="1"/>
  <c r="N22" i="1"/>
  <c r="Q22" i="1"/>
  <c r="M23" i="1"/>
  <c r="N23" i="1"/>
  <c r="Q23" i="1"/>
  <c r="M24" i="1"/>
  <c r="N24" i="1"/>
  <c r="Q24" i="1"/>
  <c r="M25" i="1"/>
  <c r="P25" i="1"/>
  <c r="N25" i="1"/>
  <c r="N26" i="1"/>
  <c r="Q26" i="1"/>
  <c r="M27" i="1"/>
  <c r="P27" i="1"/>
  <c r="N27" i="1"/>
  <c r="M28" i="1"/>
  <c r="P28" i="1"/>
  <c r="N28" i="1"/>
  <c r="M29" i="1"/>
  <c r="P29" i="1"/>
  <c r="N29" i="1"/>
  <c r="N30" i="1"/>
  <c r="M31" i="1"/>
  <c r="N31" i="1"/>
  <c r="Q31" i="1"/>
  <c r="M32" i="1"/>
  <c r="P32" i="1"/>
  <c r="N32" i="1"/>
  <c r="M33" i="1"/>
  <c r="P33" i="1"/>
  <c r="N33" i="1"/>
  <c r="M34" i="1"/>
  <c r="P34" i="1"/>
  <c r="N34" i="1"/>
  <c r="Q34" i="1"/>
  <c r="M35" i="1"/>
  <c r="P35" i="1"/>
  <c r="N35" i="1"/>
  <c r="N36" i="1"/>
  <c r="Q36" i="1"/>
  <c r="M37" i="1"/>
  <c r="P37" i="1"/>
  <c r="N37" i="1"/>
  <c r="M44" i="1"/>
  <c r="P44" i="1"/>
  <c r="N44" i="1"/>
  <c r="M45" i="1"/>
  <c r="P45" i="1"/>
  <c r="N45" i="1"/>
  <c r="Q45" i="1"/>
  <c r="M46" i="1"/>
  <c r="P46" i="1"/>
  <c r="N46" i="1"/>
  <c r="M47" i="1"/>
  <c r="P47" i="1"/>
  <c r="M48" i="1"/>
  <c r="P48" i="1"/>
  <c r="Q48" i="1"/>
  <c r="M49" i="1"/>
  <c r="P49" i="1"/>
  <c r="M50" i="1"/>
  <c r="P50" i="1"/>
  <c r="Q50" i="1"/>
  <c r="M51" i="1"/>
  <c r="P51" i="1"/>
  <c r="Q51" i="1"/>
  <c r="M52" i="1"/>
  <c r="P52" i="1"/>
  <c r="M53" i="1"/>
  <c r="P53" i="1"/>
  <c r="Q53" i="1"/>
  <c r="M54" i="1"/>
  <c r="P54" i="1"/>
  <c r="M55" i="1"/>
  <c r="P55" i="1"/>
  <c r="M56" i="1"/>
  <c r="P56" i="1"/>
  <c r="M57" i="1"/>
  <c r="P57" i="1"/>
  <c r="Q57" i="1"/>
  <c r="M58" i="1"/>
  <c r="P58" i="1"/>
  <c r="Q58" i="1"/>
  <c r="M59" i="1"/>
  <c r="P59" i="1"/>
  <c r="M60" i="1"/>
  <c r="P60" i="1"/>
  <c r="M62" i="1"/>
  <c r="P62" i="1"/>
  <c r="N3" i="1"/>
  <c r="Q3" i="1"/>
  <c r="M3" i="1"/>
  <c r="S43" i="1" l="1"/>
  <c r="S41" i="1"/>
  <c r="S42" i="1"/>
  <c r="S7" i="1"/>
  <c r="S11" i="1"/>
  <c r="S16" i="1"/>
  <c r="S20" i="1"/>
  <c r="S24" i="1"/>
  <c r="S28" i="1"/>
  <c r="S35" i="1"/>
  <c r="S44" i="1"/>
  <c r="S8" i="1"/>
  <c r="S12" i="1"/>
  <c r="S17" i="1"/>
  <c r="S21" i="1"/>
  <c r="S25" i="1"/>
  <c r="S29" i="1"/>
  <c r="S32" i="1"/>
  <c r="S36" i="1"/>
  <c r="S45" i="1"/>
  <c r="S5" i="1"/>
  <c r="S9" i="1"/>
  <c r="S14" i="1"/>
  <c r="S18" i="1"/>
  <c r="S22" i="1"/>
  <c r="S26" i="1"/>
  <c r="S30" i="1"/>
  <c r="S33" i="1"/>
  <c r="S37" i="1"/>
  <c r="S46" i="1"/>
  <c r="S4" i="1"/>
  <c r="S6" i="1"/>
  <c r="S10" i="1"/>
  <c r="S15" i="1"/>
  <c r="S19" i="1"/>
  <c r="S23" i="1"/>
  <c r="S27" i="1"/>
  <c r="S31" i="1"/>
  <c r="S34" i="1"/>
  <c r="S3" i="1"/>
  <c r="T1" i="1"/>
  <c r="Q2" i="1"/>
  <c r="T2" i="1"/>
  <c r="N49" i="1"/>
  <c r="P31" i="1"/>
  <c r="P5" i="1"/>
  <c r="P4" i="1"/>
  <c r="M36" i="1"/>
  <c r="P24" i="1"/>
  <c r="P26" i="1"/>
  <c r="P11" i="1"/>
  <c r="M30" i="1"/>
  <c r="P30" i="1"/>
  <c r="M19" i="1"/>
  <c r="P3" i="1"/>
  <c r="P16" i="1"/>
  <c r="M16" i="1"/>
  <c r="P20" i="1"/>
  <c r="M10" i="1"/>
  <c r="P22" i="1"/>
  <c r="M20" i="1"/>
  <c r="M22" i="1"/>
  <c r="M15" i="1"/>
  <c r="P7" i="1"/>
  <c r="M26" i="1"/>
  <c r="M17" i="1"/>
  <c r="P9" i="1"/>
  <c r="M7" i="1"/>
  <c r="M21" i="1"/>
  <c r="P36" i="1"/>
  <c r="P23" i="1"/>
  <c r="P21" i="1"/>
  <c r="P19" i="1"/>
  <c r="P17" i="1"/>
  <c r="P15" i="1"/>
  <c r="P12" i="1"/>
  <c r="P10" i="1"/>
  <c r="P8" i="1"/>
  <c r="P6" i="1"/>
  <c r="Q37" i="1" l="1"/>
  <c r="Q46" i="1"/>
  <c r="Q33" i="1"/>
  <c r="Q28" i="1"/>
  <c r="Q32" i="1"/>
  <c r="Q62" i="1"/>
  <c r="Q29" i="1"/>
  <c r="Q44" i="1"/>
  <c r="Q8" i="1"/>
  <c r="Q27" i="1"/>
  <c r="Q25" i="1"/>
  <c r="Q30" i="1"/>
  <c r="Q35" i="1"/>
  <c r="S1" i="1"/>
  <c r="U1" i="1" s="1"/>
  <c r="N60" i="1"/>
  <c r="N50" i="1"/>
  <c r="N48" i="1"/>
  <c r="N53" i="1"/>
  <c r="N62" i="1"/>
  <c r="N55" i="1"/>
  <c r="N54" i="1"/>
  <c r="N51" i="1"/>
  <c r="N57" i="1"/>
  <c r="N47" i="1"/>
  <c r="N59" i="1"/>
  <c r="N58" i="1"/>
  <c r="N52" i="1"/>
  <c r="N56" i="1"/>
  <c r="Q52" i="1"/>
  <c r="Q60" i="1"/>
  <c r="Q59" i="1"/>
  <c r="Q54" i="1"/>
  <c r="Q49" i="1"/>
  <c r="Q56" i="1"/>
  <c r="Q55" i="1"/>
  <c r="Q47" i="1"/>
  <c r="M1" i="1"/>
  <c r="P1" i="1"/>
  <c r="N1" i="1" l="1"/>
  <c r="O1" i="1" s="1"/>
  <c r="Q1" i="1"/>
  <c r="R1" i="1" s="1"/>
</calcChain>
</file>

<file path=xl/sharedStrings.xml><?xml version="1.0" encoding="utf-8"?>
<sst xmlns="http://schemas.openxmlformats.org/spreadsheetml/2006/main" count="175" uniqueCount="93">
  <si>
    <t>TICKER</t>
  </si>
  <si>
    <t>INVEST_BUY</t>
  </si>
  <si>
    <t>IRA_BUY</t>
  </si>
  <si>
    <t>INVEST_SELL</t>
  </si>
  <si>
    <t>IRA_SELL</t>
  </si>
  <si>
    <t>INVEST_THEME</t>
  </si>
  <si>
    <t>IRA_THEME</t>
  </si>
  <si>
    <t>INVEST_ALLOC</t>
  </si>
  <si>
    <t>IRA_ALLOC</t>
  </si>
  <si>
    <t>GLDM</t>
  </si>
  <si>
    <t>Assets precious</t>
  </si>
  <si>
    <t>Check levels</t>
  </si>
  <si>
    <t>VGIT</t>
  </si>
  <si>
    <t>Assets treasuries</t>
  </si>
  <si>
    <t>VGLT</t>
  </si>
  <si>
    <t>VGSH</t>
  </si>
  <si>
    <t>CALM</t>
  </si>
  <si>
    <t>Divs c staple</t>
  </si>
  <si>
    <t>GAIN</t>
  </si>
  <si>
    <t>Divs fin</t>
  </si>
  <si>
    <t>PFLT</t>
  </si>
  <si>
    <t>SAR</t>
  </si>
  <si>
    <t>SCM</t>
  </si>
  <si>
    <t>YMAX</t>
  </si>
  <si>
    <t>Divs alt</t>
  </si>
  <si>
    <t>Check level (IRA)</t>
  </si>
  <si>
    <t>EPOL</t>
  </si>
  <si>
    <t>International</t>
  </si>
  <si>
    <t>FLGR</t>
  </si>
  <si>
    <t>FLJP</t>
  </si>
  <si>
    <t>FLKR</t>
  </si>
  <si>
    <t>TUR</t>
  </si>
  <si>
    <t>VGK</t>
  </si>
  <si>
    <t>VOO</t>
  </si>
  <si>
    <t>Index</t>
  </si>
  <si>
    <t>GD</t>
  </si>
  <si>
    <t>Defense</t>
  </si>
  <si>
    <t>KRMN</t>
  </si>
  <si>
    <t>LMT</t>
  </si>
  <si>
    <t>RTX</t>
  </si>
  <si>
    <t>ASTS</t>
  </si>
  <si>
    <t>Space</t>
  </si>
  <si>
    <t>FLY</t>
  </si>
  <si>
    <t>LUNR</t>
  </si>
  <si>
    <t>PL</t>
  </si>
  <si>
    <t>RKLB</t>
  </si>
  <si>
    <t>VOYG</t>
  </si>
  <si>
    <t>ANET</t>
  </si>
  <si>
    <t>Communication</t>
  </si>
  <si>
    <t>WBD</t>
  </si>
  <si>
    <t>AVGO</t>
  </si>
  <si>
    <t>Tech lg</t>
  </si>
  <si>
    <t>INTC</t>
  </si>
  <si>
    <t>MRVL</t>
  </si>
  <si>
    <t>NVDA</t>
  </si>
  <si>
    <t>EQIX</t>
  </si>
  <si>
    <t>Tech REIT</t>
  </si>
  <si>
    <t>ACHR</t>
  </si>
  <si>
    <t>EVTL</t>
  </si>
  <si>
    <t>JOBY</t>
  </si>
  <si>
    <t>KRKNF</t>
  </si>
  <si>
    <t>Rebalance 8/31 2026</t>
  </si>
  <si>
    <t>RCAT</t>
  </si>
  <si>
    <t>AMAT</t>
  </si>
  <si>
    <t>FCOM</t>
  </si>
  <si>
    <t>FOXA</t>
  </si>
  <si>
    <t>FUJHY</t>
  </si>
  <si>
    <t>GME</t>
  </si>
  <si>
    <t>IBIT</t>
  </si>
  <si>
    <t>ITRN</t>
  </si>
  <si>
    <t>KMTUY</t>
  </si>
  <si>
    <t>KULR</t>
  </si>
  <si>
    <t>NIXT</t>
  </si>
  <si>
    <t>QFIN</t>
  </si>
  <si>
    <t>TTDKY</t>
  </si>
  <si>
    <t>ULTY</t>
  </si>
  <si>
    <t>URNM</t>
  </si>
  <si>
    <t>YBTC</t>
  </si>
  <si>
    <t>CLT_BUY</t>
  </si>
  <si>
    <t>CLT_SELL</t>
  </si>
  <si>
    <t>EH</t>
  </si>
  <si>
    <t>EVEX</t>
  </si>
  <si>
    <t>HOVR</t>
  </si>
  <si>
    <t>AFK</t>
  </si>
  <si>
    <t>AMPX</t>
  </si>
  <si>
    <t>ENVX</t>
  </si>
  <si>
    <t>Drones, EVOTLs</t>
  </si>
  <si>
    <t>Rebalance 1/28 2027</t>
  </si>
  <si>
    <t>Rebalance 12/19 2026</t>
  </si>
  <si>
    <t>Rebalance 11/5 2026</t>
  </si>
  <si>
    <t>Rebalance 9/21 2026</t>
  </si>
  <si>
    <t>Rebalance 6/1 2026</t>
  </si>
  <si>
    <t>Rebalance 8/1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</si>
</sst>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4" fontId="0" fillId="0" borderId="0" xfId="0" applyNumberFormat="1"/>
    <xf numFmtId="44" fontId="0" fillId="0" borderId="10" xfId="0" applyNumberFormat="1" applyBorder="1"/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tabSelected="1" zoomScaleNormal="100" workbookViewId="0">
      <selection activeCell="O2" sqref="O2"/>
    </sheetView>
  </sheetViews>
  <sheetFormatPr defaultRowHeight="15" x14ac:dyDescent="0.25"/>
  <cols>
    <col min="1" max="1" width="7.140625" bestFit="1" customWidth="1"/>
    <col min="2" max="2" width="11.7109375" bestFit="1" customWidth="1"/>
    <col min="3" max="3" width="12" bestFit="1" customWidth="1"/>
    <col min="4" max="4" width="8.42578125" bestFit="1" customWidth="1"/>
    <col min="5" max="5" width="8.7109375" bestFit="1" customWidth="1"/>
    <col min="6" max="7" width="17.42578125" bestFit="1" customWidth="1"/>
    <col min="8" max="8" width="14" bestFit="1" customWidth="1"/>
    <col min="9" max="9" width="10.5703125" bestFit="1" customWidth="1"/>
    <col min="10" max="10" width="20.140625" bestFit="1" customWidth="1"/>
    <col min="11" max="11" width="8.42578125" bestFit="1" customWidth="1"/>
    <col min="12" max="12" width="8.7109375" bestFit="1" customWidth="1"/>
    <col min="13" max="14" width="10.5703125" style="1" bestFit="1" customWidth="1"/>
    <col min="15" max="15" width="9" style="1" bestFit="1" customWidth="1"/>
    <col min="16" max="16" width="11.5703125" style="1" bestFit="1" customWidth="1"/>
    <col min="17" max="18" width="10.5703125" style="1" bestFit="1" customWidth="1"/>
    <col min="19" max="19" width="11.5703125" style="1" bestFit="1" customWidth="1"/>
    <col min="20" max="21" width="10.5703125" style="1" bestFit="1" customWidth="1"/>
  </cols>
  <sheetData>
    <row r="1" spans="1:21" x14ac:dyDescent="0.25">
      <c r="C1">
        <v>25500</v>
      </c>
      <c r="E1">
        <v>101000</v>
      </c>
      <c r="L1">
        <v>160000</v>
      </c>
      <c r="M1" s="1">
        <f>SUM(M3:M62)</f>
        <v>440.13300900000007</v>
      </c>
      <c r="N1" s="1">
        <f>SUM(N3:N62)</f>
        <v>440.04500000000002</v>
      </c>
      <c r="O1" s="3">
        <f>N1/M1</f>
        <v>0.99980003999200151</v>
      </c>
      <c r="P1" s="1">
        <f>SUM(P3:P62)</f>
        <v>550.113333333333</v>
      </c>
      <c r="Q1" s="1">
        <f>SUM(Q3:Q62)</f>
        <v>550.11333333333312</v>
      </c>
      <c r="R1" s="3">
        <f>Q1/P1</f>
        <v>1.0000000000000002</v>
      </c>
      <c r="S1" s="1">
        <f>SUM(S3:S62)</f>
        <v>39238.095238095229</v>
      </c>
      <c r="T1" s="1">
        <f>SUM(T3:T62)</f>
        <v>0</v>
      </c>
      <c r="U1" s="3">
        <f>T1/S1</f>
        <v>0</v>
      </c>
    </row>
    <row r="2" spans="1:21" x14ac:dyDescent="0.25">
      <c r="A2" t="s">
        <v>0</v>
      </c>
      <c r="B2" t="s">
        <v>1</v>
      </c>
      <c r="C2" t="s">
        <v>3</v>
      </c>
      <c r="D2" t="s">
        <v>2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K2" t="s">
        <v>78</v>
      </c>
      <c r="L2" t="s">
        <v>79</v>
      </c>
      <c r="M2" s="2">
        <f>O2*0.3334</f>
        <v>146.71100300000001</v>
      </c>
      <c r="N2" s="2">
        <f>O2</f>
        <v>440.04500000000002</v>
      </c>
      <c r="O2" s="1">
        <f>(C1/30)*0.5177</f>
        <v>440.04500000000002</v>
      </c>
      <c r="P2" s="2">
        <f>R2*0.2</f>
        <v>110.02266666666665</v>
      </c>
      <c r="Q2" s="2">
        <f>R2</f>
        <v>550.11333333333323</v>
      </c>
      <c r="R2" s="1">
        <f>(E1/30)*0.1634</f>
        <v>550.11333333333323</v>
      </c>
      <c r="S2" s="2">
        <f>U2</f>
        <v>5333.333333333333</v>
      </c>
      <c r="T2" s="2">
        <f>U2</f>
        <v>5333.333333333333</v>
      </c>
      <c r="U2" s="1">
        <f>L1/30</f>
        <v>5333.333333333333</v>
      </c>
    </row>
    <row r="3" spans="1:21" x14ac:dyDescent="0.25">
      <c r="A3" t="s">
        <v>9</v>
      </c>
      <c r="D3">
        <v>2</v>
      </c>
      <c r="F3" t="s">
        <v>10</v>
      </c>
      <c r="G3" t="s">
        <v>10</v>
      </c>
      <c r="H3" s="4">
        <v>0.05</v>
      </c>
      <c r="I3" s="4">
        <v>0.05</v>
      </c>
      <c r="J3" t="s">
        <v>11</v>
      </c>
      <c r="K3">
        <v>4</v>
      </c>
      <c r="M3" s="1" t="b">
        <f t="shared" ref="M3:M34" si="0">IF(B3&gt;0,M$2/B3)</f>
        <v>0</v>
      </c>
      <c r="N3" s="1" t="b">
        <f t="shared" ref="N3:N34" si="1">IF(C3&gt;0,N$2/C3)</f>
        <v>0</v>
      </c>
      <c r="P3" s="1">
        <f t="shared" ref="P3:P34" si="2">IF(D3&gt;0,P$2/D3)</f>
        <v>55.011333333333326</v>
      </c>
      <c r="Q3" s="1" t="b">
        <f t="shared" ref="Q3:Q34" si="3">IF(E3&gt;0,Q$2/E3)</f>
        <v>0</v>
      </c>
      <c r="S3" s="1">
        <f>IF(K3&gt;0,S$2/K3)</f>
        <v>1333.3333333333333</v>
      </c>
      <c r="T3" s="1" t="b">
        <f>IF(L3&gt;0,T$2/L3)</f>
        <v>0</v>
      </c>
    </row>
    <row r="4" spans="1:21" x14ac:dyDescent="0.25">
      <c r="A4" t="s">
        <v>12</v>
      </c>
      <c r="D4">
        <v>4</v>
      </c>
      <c r="F4" t="s">
        <v>13</v>
      </c>
      <c r="G4" t="s">
        <v>13</v>
      </c>
      <c r="H4" s="4">
        <v>1.67E-2</v>
      </c>
      <c r="I4" s="4">
        <v>1.67E-2</v>
      </c>
      <c r="K4">
        <v>12</v>
      </c>
      <c r="M4" s="1" t="b">
        <f t="shared" si="0"/>
        <v>0</v>
      </c>
      <c r="N4" s="1" t="b">
        <f t="shared" si="1"/>
        <v>0</v>
      </c>
      <c r="P4" s="1">
        <f t="shared" si="2"/>
        <v>27.505666666666663</v>
      </c>
      <c r="Q4" s="1" t="b">
        <f t="shared" si="3"/>
        <v>0</v>
      </c>
      <c r="S4" s="1">
        <f>IF(K4&gt;0,S$2/K4)</f>
        <v>444.4444444444444</v>
      </c>
      <c r="T4" s="1" t="b">
        <f>IF(L4&gt;0,T$2/L4)</f>
        <v>0</v>
      </c>
    </row>
    <row r="5" spans="1:21" x14ac:dyDescent="0.25">
      <c r="A5" t="s">
        <v>14</v>
      </c>
      <c r="F5" t="s">
        <v>13</v>
      </c>
      <c r="G5" t="s">
        <v>13</v>
      </c>
      <c r="H5" s="4">
        <v>1.67E-2</v>
      </c>
      <c r="I5" s="4">
        <v>1.67E-2</v>
      </c>
      <c r="J5" t="s">
        <v>11</v>
      </c>
      <c r="K5">
        <v>12</v>
      </c>
      <c r="M5" s="1" t="b">
        <f t="shared" si="0"/>
        <v>0</v>
      </c>
      <c r="N5" s="1" t="b">
        <f t="shared" si="1"/>
        <v>0</v>
      </c>
      <c r="P5" s="1" t="b">
        <f t="shared" si="2"/>
        <v>0</v>
      </c>
      <c r="Q5" s="1" t="b">
        <f t="shared" si="3"/>
        <v>0</v>
      </c>
      <c r="S5" s="1">
        <f t="shared" ref="S5:S62" si="4">IF(K5&gt;0,S$2/K5)</f>
        <v>444.4444444444444</v>
      </c>
      <c r="T5" s="1" t="b">
        <f t="shared" ref="T5:T62" si="5">IF(L5&gt;0,T$2/L5)</f>
        <v>0</v>
      </c>
    </row>
    <row r="6" spans="1:21" x14ac:dyDescent="0.25">
      <c r="A6" t="s">
        <v>15</v>
      </c>
      <c r="D6">
        <v>4</v>
      </c>
      <c r="F6" t="s">
        <v>13</v>
      </c>
      <c r="G6" t="s">
        <v>13</v>
      </c>
      <c r="H6" s="4">
        <v>1.67E-2</v>
      </c>
      <c r="I6" s="4">
        <v>1.67E-2</v>
      </c>
      <c r="K6">
        <v>12</v>
      </c>
      <c r="M6" s="1" t="b">
        <f t="shared" si="0"/>
        <v>0</v>
      </c>
      <c r="N6" s="1" t="b">
        <f t="shared" si="1"/>
        <v>0</v>
      </c>
      <c r="P6" s="1">
        <f t="shared" si="2"/>
        <v>27.505666666666663</v>
      </c>
      <c r="Q6" s="1" t="b">
        <f t="shared" si="3"/>
        <v>0</v>
      </c>
      <c r="S6" s="1">
        <f t="shared" si="4"/>
        <v>444.4444444444444</v>
      </c>
      <c r="T6" s="1" t="b">
        <f t="shared" si="5"/>
        <v>0</v>
      </c>
    </row>
    <row r="7" spans="1:21" x14ac:dyDescent="0.25">
      <c r="A7" t="s">
        <v>16</v>
      </c>
      <c r="D7">
        <v>4</v>
      </c>
      <c r="F7" t="s">
        <v>17</v>
      </c>
      <c r="G7" t="s">
        <v>17</v>
      </c>
      <c r="H7" s="4">
        <v>1.67E-2</v>
      </c>
      <c r="I7" s="4">
        <v>1.67E-2</v>
      </c>
      <c r="K7">
        <v>6</v>
      </c>
      <c r="M7" s="1" t="b">
        <f t="shared" si="0"/>
        <v>0</v>
      </c>
      <c r="N7" s="1" t="b">
        <f t="shared" si="1"/>
        <v>0</v>
      </c>
      <c r="P7" s="1">
        <f t="shared" si="2"/>
        <v>27.505666666666663</v>
      </c>
      <c r="Q7" s="1" t="b">
        <f t="shared" si="3"/>
        <v>0</v>
      </c>
      <c r="S7" s="1">
        <f t="shared" si="4"/>
        <v>888.8888888888888</v>
      </c>
      <c r="T7" s="1" t="b">
        <f t="shared" si="5"/>
        <v>0</v>
      </c>
    </row>
    <row r="8" spans="1:21" x14ac:dyDescent="0.25">
      <c r="A8" t="s">
        <v>18</v>
      </c>
      <c r="C8">
        <v>22</v>
      </c>
      <c r="E8">
        <v>13</v>
      </c>
      <c r="F8" t="s">
        <v>19</v>
      </c>
      <c r="G8" t="s">
        <v>19</v>
      </c>
      <c r="H8" s="4">
        <v>1.67E-2</v>
      </c>
      <c r="I8" s="4">
        <v>1.67E-2</v>
      </c>
      <c r="K8">
        <v>6</v>
      </c>
      <c r="M8" s="1" t="b">
        <f t="shared" si="0"/>
        <v>0</v>
      </c>
      <c r="N8" s="1">
        <f t="shared" si="1"/>
        <v>20.002045454545456</v>
      </c>
      <c r="P8" s="1" t="b">
        <f t="shared" si="2"/>
        <v>0</v>
      </c>
      <c r="Q8" s="1">
        <f t="shared" si="3"/>
        <v>42.316410256410251</v>
      </c>
      <c r="S8" s="1">
        <f t="shared" si="4"/>
        <v>888.8888888888888</v>
      </c>
      <c r="T8" s="1" t="b">
        <f t="shared" si="5"/>
        <v>0</v>
      </c>
    </row>
    <row r="9" spans="1:21" x14ac:dyDescent="0.25">
      <c r="A9" t="s">
        <v>20</v>
      </c>
      <c r="F9" t="s">
        <v>19</v>
      </c>
      <c r="G9" t="s">
        <v>19</v>
      </c>
      <c r="H9" s="4">
        <v>1.67E-2</v>
      </c>
      <c r="I9" s="4">
        <v>1.67E-2</v>
      </c>
      <c r="K9">
        <v>6</v>
      </c>
      <c r="M9" s="1" t="b">
        <f t="shared" si="0"/>
        <v>0</v>
      </c>
      <c r="N9" s="1" t="b">
        <f t="shared" si="1"/>
        <v>0</v>
      </c>
      <c r="P9" s="1" t="b">
        <f t="shared" si="2"/>
        <v>0</v>
      </c>
      <c r="Q9" s="1" t="b">
        <f t="shared" si="3"/>
        <v>0</v>
      </c>
      <c r="S9" s="1">
        <f t="shared" si="4"/>
        <v>888.8888888888888</v>
      </c>
      <c r="T9" s="1" t="b">
        <f t="shared" si="5"/>
        <v>0</v>
      </c>
    </row>
    <row r="10" spans="1:21" x14ac:dyDescent="0.25">
      <c r="A10" t="s">
        <v>21</v>
      </c>
      <c r="D10">
        <v>4</v>
      </c>
      <c r="F10" t="s">
        <v>19</v>
      </c>
      <c r="G10" t="s">
        <v>19</v>
      </c>
      <c r="H10" s="4">
        <v>1.67E-2</v>
      </c>
      <c r="I10" s="4">
        <v>1.67E-2</v>
      </c>
      <c r="K10">
        <v>6</v>
      </c>
      <c r="M10" s="1" t="b">
        <f t="shared" si="0"/>
        <v>0</v>
      </c>
      <c r="N10" s="1" t="b">
        <f t="shared" si="1"/>
        <v>0</v>
      </c>
      <c r="P10" s="1">
        <f t="shared" si="2"/>
        <v>27.505666666666663</v>
      </c>
      <c r="Q10" s="1" t="b">
        <f t="shared" si="3"/>
        <v>0</v>
      </c>
      <c r="S10" s="1">
        <f t="shared" si="4"/>
        <v>888.8888888888888</v>
      </c>
      <c r="T10" s="1" t="b">
        <f t="shared" si="5"/>
        <v>0</v>
      </c>
    </row>
    <row r="11" spans="1:21" x14ac:dyDescent="0.25">
      <c r="A11" t="s">
        <v>22</v>
      </c>
      <c r="D11">
        <v>4</v>
      </c>
      <c r="F11" t="s">
        <v>19</v>
      </c>
      <c r="G11" t="s">
        <v>19</v>
      </c>
      <c r="H11" s="4">
        <v>1.67E-2</v>
      </c>
      <c r="I11" s="4">
        <v>1.67E-2</v>
      </c>
      <c r="K11">
        <v>6</v>
      </c>
      <c r="M11" s="1" t="b">
        <f t="shared" si="0"/>
        <v>0</v>
      </c>
      <c r="N11" s="1" t="b">
        <f t="shared" si="1"/>
        <v>0</v>
      </c>
      <c r="P11" s="1">
        <f t="shared" si="2"/>
        <v>27.505666666666663</v>
      </c>
      <c r="Q11" s="1" t="b">
        <f t="shared" si="3"/>
        <v>0</v>
      </c>
      <c r="S11" s="1">
        <f t="shared" si="4"/>
        <v>888.8888888888888</v>
      </c>
      <c r="T11" s="1" t="b">
        <f t="shared" si="5"/>
        <v>0</v>
      </c>
    </row>
    <row r="12" spans="1:21" x14ac:dyDescent="0.25">
      <c r="A12" t="s">
        <v>23</v>
      </c>
      <c r="D12">
        <v>4</v>
      </c>
      <c r="F12" t="s">
        <v>24</v>
      </c>
      <c r="G12" t="s">
        <v>24</v>
      </c>
      <c r="H12" s="4">
        <v>1.67E-2</v>
      </c>
      <c r="I12" s="4">
        <v>1.67E-2</v>
      </c>
      <c r="J12" t="s">
        <v>25</v>
      </c>
      <c r="K12">
        <v>6</v>
      </c>
      <c r="M12" s="1" t="b">
        <f t="shared" si="0"/>
        <v>0</v>
      </c>
      <c r="N12" s="1" t="b">
        <f t="shared" si="1"/>
        <v>0</v>
      </c>
      <c r="P12" s="1">
        <f t="shared" si="2"/>
        <v>27.505666666666663</v>
      </c>
      <c r="Q12" s="1" t="b">
        <f t="shared" si="3"/>
        <v>0</v>
      </c>
      <c r="S12" s="1">
        <f t="shared" si="4"/>
        <v>888.8888888888888</v>
      </c>
      <c r="T12" s="1" t="b">
        <f t="shared" si="5"/>
        <v>0</v>
      </c>
    </row>
    <row r="13" spans="1:21" x14ac:dyDescent="0.25">
      <c r="A13" t="s">
        <v>83</v>
      </c>
      <c r="B13">
        <v>4</v>
      </c>
      <c r="D13">
        <v>5</v>
      </c>
      <c r="F13" t="s">
        <v>27</v>
      </c>
      <c r="G13" t="s">
        <v>27</v>
      </c>
      <c r="H13" s="4">
        <v>8.9999999999999993E-3</v>
      </c>
      <c r="I13" s="4">
        <v>8.9999999999999993E-3</v>
      </c>
      <c r="K13">
        <v>7</v>
      </c>
      <c r="M13" s="1">
        <f t="shared" ref="M13" si="6">IF(B13&gt;0,M$2/B13)</f>
        <v>36.677750750000001</v>
      </c>
      <c r="N13" s="1" t="b">
        <f t="shared" ref="N13" si="7">IF(C13&gt;0,N$2/C13)</f>
        <v>0</v>
      </c>
      <c r="P13" s="1">
        <f t="shared" ref="P13" si="8">IF(D13&gt;0,P$2/D13)</f>
        <v>22.004533333333331</v>
      </c>
      <c r="Q13" s="1" t="b">
        <f t="shared" ref="Q13" si="9">IF(E13&gt;0,Q$2/E13)</f>
        <v>0</v>
      </c>
      <c r="S13" s="1">
        <f t="shared" ref="S13" si="10">IF(K13&gt;0,S$2/K13)</f>
        <v>761.90476190476181</v>
      </c>
      <c r="T13" s="1" t="b">
        <f t="shared" ref="T13" si="11">IF(L13&gt;0,T$2/L13)</f>
        <v>0</v>
      </c>
    </row>
    <row r="14" spans="1:21" x14ac:dyDescent="0.25">
      <c r="A14" t="s">
        <v>26</v>
      </c>
      <c r="F14" t="s">
        <v>27</v>
      </c>
      <c r="G14" t="s">
        <v>27</v>
      </c>
      <c r="H14" s="4">
        <v>0.01</v>
      </c>
      <c r="I14" s="4">
        <v>0.01</v>
      </c>
      <c r="J14" t="s">
        <v>88</v>
      </c>
      <c r="K14">
        <v>7</v>
      </c>
      <c r="M14" s="1" t="b">
        <f t="shared" si="0"/>
        <v>0</v>
      </c>
      <c r="N14" s="1" t="b">
        <f t="shared" si="1"/>
        <v>0</v>
      </c>
      <c r="P14" s="1" t="b">
        <f t="shared" si="2"/>
        <v>0</v>
      </c>
      <c r="Q14" s="1" t="b">
        <f t="shared" si="3"/>
        <v>0</v>
      </c>
      <c r="S14" s="1">
        <f t="shared" si="4"/>
        <v>761.90476190476181</v>
      </c>
      <c r="T14" s="1" t="b">
        <f t="shared" si="5"/>
        <v>0</v>
      </c>
    </row>
    <row r="15" spans="1:21" x14ac:dyDescent="0.25">
      <c r="A15" t="s">
        <v>28</v>
      </c>
      <c r="B15">
        <v>4</v>
      </c>
      <c r="D15">
        <v>5</v>
      </c>
      <c r="F15" t="s">
        <v>27</v>
      </c>
      <c r="G15" t="s">
        <v>27</v>
      </c>
      <c r="H15" s="4">
        <v>2.8000000000000001E-2</v>
      </c>
      <c r="I15" s="4">
        <v>2.8000000000000001E-2</v>
      </c>
      <c r="K15">
        <v>7</v>
      </c>
      <c r="M15" s="1">
        <f t="shared" si="0"/>
        <v>36.677750750000001</v>
      </c>
      <c r="N15" s="1" t="b">
        <f t="shared" si="1"/>
        <v>0</v>
      </c>
      <c r="P15" s="1">
        <f t="shared" si="2"/>
        <v>22.004533333333331</v>
      </c>
      <c r="Q15" s="1" t="b">
        <f t="shared" si="3"/>
        <v>0</v>
      </c>
      <c r="S15" s="1">
        <f t="shared" si="4"/>
        <v>761.90476190476181</v>
      </c>
      <c r="T15" s="1" t="b">
        <f t="shared" si="5"/>
        <v>0</v>
      </c>
    </row>
    <row r="16" spans="1:21" x14ac:dyDescent="0.25">
      <c r="A16" t="s">
        <v>29</v>
      </c>
      <c r="B16">
        <v>4</v>
      </c>
      <c r="D16">
        <v>5</v>
      </c>
      <c r="F16" t="s">
        <v>27</v>
      </c>
      <c r="G16" t="s">
        <v>27</v>
      </c>
      <c r="H16" s="4">
        <v>2.8000000000000001E-2</v>
      </c>
      <c r="I16" s="4">
        <v>2.8000000000000001E-2</v>
      </c>
      <c r="K16">
        <v>7</v>
      </c>
      <c r="M16" s="1">
        <f t="shared" si="0"/>
        <v>36.677750750000001</v>
      </c>
      <c r="N16" s="1" t="b">
        <f t="shared" si="1"/>
        <v>0</v>
      </c>
      <c r="P16" s="1">
        <f t="shared" si="2"/>
        <v>22.004533333333331</v>
      </c>
      <c r="Q16" s="1" t="b">
        <f t="shared" si="3"/>
        <v>0</v>
      </c>
      <c r="S16" s="1">
        <f t="shared" si="4"/>
        <v>761.90476190476181</v>
      </c>
      <c r="T16" s="1" t="b">
        <f t="shared" si="5"/>
        <v>0</v>
      </c>
    </row>
    <row r="17" spans="1:20" x14ac:dyDescent="0.25">
      <c r="A17" t="s">
        <v>30</v>
      </c>
      <c r="D17">
        <v>5</v>
      </c>
      <c r="F17" t="s">
        <v>27</v>
      </c>
      <c r="G17" t="s">
        <v>27</v>
      </c>
      <c r="H17" s="4">
        <v>2.5000000000000001E-2</v>
      </c>
      <c r="I17" s="4">
        <v>2.5000000000000001E-2</v>
      </c>
      <c r="K17">
        <v>7</v>
      </c>
      <c r="M17" s="1" t="b">
        <f t="shared" si="0"/>
        <v>0</v>
      </c>
      <c r="N17" s="1" t="b">
        <f t="shared" si="1"/>
        <v>0</v>
      </c>
      <c r="P17" s="1">
        <f t="shared" si="2"/>
        <v>22.004533333333331</v>
      </c>
      <c r="Q17" s="1" t="b">
        <f t="shared" si="3"/>
        <v>0</v>
      </c>
      <c r="S17" s="1">
        <f t="shared" si="4"/>
        <v>761.90476190476181</v>
      </c>
      <c r="T17" s="1" t="b">
        <f t="shared" si="5"/>
        <v>0</v>
      </c>
    </row>
    <row r="18" spans="1:20" x14ac:dyDescent="0.25">
      <c r="A18" t="s">
        <v>31</v>
      </c>
      <c r="F18" t="s">
        <v>27</v>
      </c>
      <c r="G18" t="s">
        <v>27</v>
      </c>
      <c r="H18" s="4">
        <v>0.01</v>
      </c>
      <c r="I18" s="4">
        <v>0.01</v>
      </c>
      <c r="J18" t="s">
        <v>88</v>
      </c>
      <c r="K18">
        <v>7</v>
      </c>
      <c r="M18" s="1" t="b">
        <f t="shared" si="0"/>
        <v>0</v>
      </c>
      <c r="N18" s="1" t="b">
        <f t="shared" si="1"/>
        <v>0</v>
      </c>
      <c r="P18" s="1" t="b">
        <f t="shared" si="2"/>
        <v>0</v>
      </c>
      <c r="Q18" s="1" t="b">
        <f t="shared" si="3"/>
        <v>0</v>
      </c>
      <c r="S18" s="1">
        <f t="shared" si="4"/>
        <v>761.90476190476181</v>
      </c>
      <c r="T18" s="1" t="b">
        <f t="shared" si="5"/>
        <v>0</v>
      </c>
    </row>
    <row r="19" spans="1:20" x14ac:dyDescent="0.25">
      <c r="A19" t="s">
        <v>32</v>
      </c>
      <c r="B19">
        <v>4</v>
      </c>
      <c r="D19">
        <v>5</v>
      </c>
      <c r="F19" t="s">
        <v>27</v>
      </c>
      <c r="G19" t="s">
        <v>27</v>
      </c>
      <c r="H19" s="4">
        <v>0.04</v>
      </c>
      <c r="I19" s="4">
        <v>0.04</v>
      </c>
      <c r="K19">
        <v>7</v>
      </c>
      <c r="M19" s="1">
        <f t="shared" si="0"/>
        <v>36.677750750000001</v>
      </c>
      <c r="N19" s="1" t="b">
        <f t="shared" si="1"/>
        <v>0</v>
      </c>
      <c r="P19" s="1">
        <f t="shared" si="2"/>
        <v>22.004533333333331</v>
      </c>
      <c r="Q19" s="1" t="b">
        <f t="shared" si="3"/>
        <v>0</v>
      </c>
      <c r="S19" s="1">
        <f t="shared" si="4"/>
        <v>761.90476190476181</v>
      </c>
      <c r="T19" s="1" t="b">
        <f t="shared" si="5"/>
        <v>0</v>
      </c>
    </row>
    <row r="20" spans="1:20" x14ac:dyDescent="0.25">
      <c r="A20" t="s">
        <v>33</v>
      </c>
      <c r="B20">
        <v>1</v>
      </c>
      <c r="D20">
        <v>1</v>
      </c>
      <c r="F20" t="s">
        <v>34</v>
      </c>
      <c r="G20" t="s">
        <v>34</v>
      </c>
      <c r="H20" s="4">
        <v>0.4</v>
      </c>
      <c r="I20" s="4">
        <v>0.4</v>
      </c>
      <c r="K20">
        <v>1</v>
      </c>
      <c r="M20" s="1">
        <f t="shared" si="0"/>
        <v>146.71100300000001</v>
      </c>
      <c r="N20" s="1" t="b">
        <f t="shared" si="1"/>
        <v>0</v>
      </c>
      <c r="P20" s="1">
        <f t="shared" si="2"/>
        <v>110.02266666666665</v>
      </c>
      <c r="Q20" s="1" t="b">
        <f t="shared" si="3"/>
        <v>0</v>
      </c>
      <c r="S20" s="1">
        <f t="shared" si="4"/>
        <v>5333.333333333333</v>
      </c>
      <c r="T20" s="1" t="b">
        <f t="shared" si="5"/>
        <v>0</v>
      </c>
    </row>
    <row r="21" spans="1:20" x14ac:dyDescent="0.25">
      <c r="A21" t="s">
        <v>35</v>
      </c>
      <c r="F21" t="s">
        <v>36</v>
      </c>
      <c r="G21" t="s">
        <v>36</v>
      </c>
      <c r="H21" s="4">
        <v>7.4999999999999997E-3</v>
      </c>
      <c r="I21" s="4">
        <v>7.4999999999999997E-3</v>
      </c>
      <c r="K21">
        <v>4</v>
      </c>
      <c r="M21" s="1" t="b">
        <f t="shared" si="0"/>
        <v>0</v>
      </c>
      <c r="N21" s="1" t="b">
        <f t="shared" si="1"/>
        <v>0</v>
      </c>
      <c r="P21" s="1" t="b">
        <f t="shared" si="2"/>
        <v>0</v>
      </c>
      <c r="Q21" s="1" t="b">
        <f t="shared" si="3"/>
        <v>0</v>
      </c>
      <c r="S21" s="1">
        <f t="shared" si="4"/>
        <v>1333.3333333333333</v>
      </c>
      <c r="T21" s="1" t="b">
        <f t="shared" si="5"/>
        <v>0</v>
      </c>
    </row>
    <row r="22" spans="1:20" x14ac:dyDescent="0.25">
      <c r="A22" t="s">
        <v>37</v>
      </c>
      <c r="F22" t="s">
        <v>36</v>
      </c>
      <c r="G22" t="s">
        <v>36</v>
      </c>
      <c r="H22" s="4">
        <v>7.4999999999999997E-3</v>
      </c>
      <c r="I22" s="4">
        <v>7.4999999999999997E-3</v>
      </c>
      <c r="J22" t="s">
        <v>89</v>
      </c>
      <c r="K22">
        <v>4</v>
      </c>
      <c r="M22" s="1" t="b">
        <f t="shared" si="0"/>
        <v>0</v>
      </c>
      <c r="N22" s="1" t="b">
        <f t="shared" si="1"/>
        <v>0</v>
      </c>
      <c r="P22" s="1" t="b">
        <f t="shared" si="2"/>
        <v>0</v>
      </c>
      <c r="Q22" s="1" t="b">
        <f t="shared" si="3"/>
        <v>0</v>
      </c>
      <c r="S22" s="1">
        <f t="shared" si="4"/>
        <v>1333.3333333333333</v>
      </c>
      <c r="T22" s="1" t="b">
        <f t="shared" si="5"/>
        <v>0</v>
      </c>
    </row>
    <row r="23" spans="1:20" x14ac:dyDescent="0.25">
      <c r="A23" t="s">
        <v>38</v>
      </c>
      <c r="F23" t="s">
        <v>36</v>
      </c>
      <c r="G23" t="s">
        <v>36</v>
      </c>
      <c r="H23" s="4">
        <v>7.4999999999999997E-3</v>
      </c>
      <c r="I23" s="4">
        <v>7.4999999999999997E-3</v>
      </c>
      <c r="J23" t="s">
        <v>11</v>
      </c>
      <c r="K23">
        <v>4</v>
      </c>
      <c r="M23" s="1" t="b">
        <f t="shared" si="0"/>
        <v>0</v>
      </c>
      <c r="N23" s="1" t="b">
        <f t="shared" si="1"/>
        <v>0</v>
      </c>
      <c r="P23" s="1" t="b">
        <f t="shared" si="2"/>
        <v>0</v>
      </c>
      <c r="Q23" s="1" t="b">
        <f t="shared" si="3"/>
        <v>0</v>
      </c>
      <c r="S23" s="1">
        <f t="shared" si="4"/>
        <v>1333.3333333333333</v>
      </c>
      <c r="T23" s="1" t="b">
        <f t="shared" si="5"/>
        <v>0</v>
      </c>
    </row>
    <row r="24" spans="1:20" x14ac:dyDescent="0.25">
      <c r="A24" t="s">
        <v>39</v>
      </c>
      <c r="F24" t="s">
        <v>36</v>
      </c>
      <c r="G24" t="s">
        <v>36</v>
      </c>
      <c r="H24" s="4">
        <v>7.4999999999999997E-3</v>
      </c>
      <c r="I24" s="4">
        <v>7.4999999999999997E-3</v>
      </c>
      <c r="J24" t="s">
        <v>11</v>
      </c>
      <c r="K24">
        <v>4</v>
      </c>
      <c r="M24" s="1" t="b">
        <f t="shared" si="0"/>
        <v>0</v>
      </c>
      <c r="N24" s="1" t="b">
        <f t="shared" si="1"/>
        <v>0</v>
      </c>
      <c r="P24" s="1" t="b">
        <f t="shared" si="2"/>
        <v>0</v>
      </c>
      <c r="Q24" s="1" t="b">
        <f t="shared" si="3"/>
        <v>0</v>
      </c>
      <c r="S24" s="1">
        <f t="shared" si="4"/>
        <v>1333.3333333333333</v>
      </c>
      <c r="T24" s="1" t="b">
        <f t="shared" si="5"/>
        <v>0</v>
      </c>
    </row>
    <row r="25" spans="1:20" x14ac:dyDescent="0.25">
      <c r="A25" t="s">
        <v>40</v>
      </c>
      <c r="C25">
        <v>22</v>
      </c>
      <c r="E25">
        <v>13</v>
      </c>
      <c r="F25" t="s">
        <v>41</v>
      </c>
      <c r="G25" t="s">
        <v>41</v>
      </c>
      <c r="H25" s="4">
        <v>7.4999999999999997E-3</v>
      </c>
      <c r="I25" s="4">
        <v>7.4999999999999997E-3</v>
      </c>
      <c r="K25">
        <v>6</v>
      </c>
      <c r="M25" s="1" t="b">
        <f t="shared" si="0"/>
        <v>0</v>
      </c>
      <c r="N25" s="1">
        <f t="shared" si="1"/>
        <v>20.002045454545456</v>
      </c>
      <c r="P25" s="1" t="b">
        <f t="shared" si="2"/>
        <v>0</v>
      </c>
      <c r="Q25" s="1">
        <f t="shared" si="3"/>
        <v>42.316410256410251</v>
      </c>
      <c r="S25" s="1">
        <f t="shared" si="4"/>
        <v>888.8888888888888</v>
      </c>
      <c r="T25" s="1" t="b">
        <f t="shared" si="5"/>
        <v>0</v>
      </c>
    </row>
    <row r="26" spans="1:20" x14ac:dyDescent="0.25">
      <c r="A26" t="s">
        <v>42</v>
      </c>
      <c r="F26" t="s">
        <v>41</v>
      </c>
      <c r="G26" t="s">
        <v>41</v>
      </c>
      <c r="H26" s="4">
        <v>7.4999999999999997E-3</v>
      </c>
      <c r="I26" s="4">
        <v>7.4999999999999997E-3</v>
      </c>
      <c r="J26" t="s">
        <v>90</v>
      </c>
      <c r="K26">
        <v>6</v>
      </c>
      <c r="M26" s="1" t="b">
        <f t="shared" si="0"/>
        <v>0</v>
      </c>
      <c r="N26" s="1" t="b">
        <f t="shared" si="1"/>
        <v>0</v>
      </c>
      <c r="P26" s="1" t="b">
        <f t="shared" si="2"/>
        <v>0</v>
      </c>
      <c r="Q26" s="1" t="b">
        <f t="shared" si="3"/>
        <v>0</v>
      </c>
      <c r="S26" s="1">
        <f t="shared" si="4"/>
        <v>888.8888888888888</v>
      </c>
      <c r="T26" s="1" t="b">
        <f t="shared" si="5"/>
        <v>0</v>
      </c>
    </row>
    <row r="27" spans="1:20" x14ac:dyDescent="0.25">
      <c r="A27" t="s">
        <v>43</v>
      </c>
      <c r="C27">
        <v>22</v>
      </c>
      <c r="E27">
        <v>13</v>
      </c>
      <c r="F27" t="s">
        <v>41</v>
      </c>
      <c r="G27" t="s">
        <v>41</v>
      </c>
      <c r="H27" s="4">
        <v>7.4999999999999997E-3</v>
      </c>
      <c r="I27" s="4">
        <v>7.4999999999999997E-3</v>
      </c>
      <c r="K27">
        <v>6</v>
      </c>
      <c r="M27" s="1" t="b">
        <f t="shared" si="0"/>
        <v>0</v>
      </c>
      <c r="N27" s="1">
        <f t="shared" si="1"/>
        <v>20.002045454545456</v>
      </c>
      <c r="P27" s="1" t="b">
        <f t="shared" si="2"/>
        <v>0</v>
      </c>
      <c r="Q27" s="1">
        <f t="shared" si="3"/>
        <v>42.316410256410251</v>
      </c>
      <c r="S27" s="1">
        <f t="shared" si="4"/>
        <v>888.8888888888888</v>
      </c>
      <c r="T27" s="1" t="b">
        <f t="shared" si="5"/>
        <v>0</v>
      </c>
    </row>
    <row r="28" spans="1:20" x14ac:dyDescent="0.25">
      <c r="A28" t="s">
        <v>44</v>
      </c>
      <c r="C28">
        <v>22</v>
      </c>
      <c r="E28">
        <v>13</v>
      </c>
      <c r="F28" t="s">
        <v>41</v>
      </c>
      <c r="G28" t="s">
        <v>41</v>
      </c>
      <c r="H28" s="4">
        <v>7.4999999999999997E-3</v>
      </c>
      <c r="I28" s="4">
        <v>7.4999999999999997E-3</v>
      </c>
      <c r="K28">
        <v>6</v>
      </c>
      <c r="M28" s="1" t="b">
        <f t="shared" si="0"/>
        <v>0</v>
      </c>
      <c r="N28" s="1">
        <f t="shared" si="1"/>
        <v>20.002045454545456</v>
      </c>
      <c r="P28" s="1" t="b">
        <f t="shared" si="2"/>
        <v>0</v>
      </c>
      <c r="Q28" s="1">
        <f t="shared" si="3"/>
        <v>42.316410256410251</v>
      </c>
      <c r="S28" s="1">
        <f t="shared" si="4"/>
        <v>888.8888888888888</v>
      </c>
      <c r="T28" s="1" t="b">
        <f t="shared" si="5"/>
        <v>0</v>
      </c>
    </row>
    <row r="29" spans="1:20" x14ac:dyDescent="0.25">
      <c r="A29" t="s">
        <v>45</v>
      </c>
      <c r="C29">
        <v>22</v>
      </c>
      <c r="E29">
        <v>13</v>
      </c>
      <c r="F29" t="s">
        <v>41</v>
      </c>
      <c r="G29" t="s">
        <v>41</v>
      </c>
      <c r="H29" s="4">
        <v>7.4999999999999997E-3</v>
      </c>
      <c r="I29" s="4">
        <v>7.4999999999999997E-3</v>
      </c>
      <c r="K29">
        <v>6</v>
      </c>
      <c r="M29" s="1" t="b">
        <f t="shared" si="0"/>
        <v>0</v>
      </c>
      <c r="N29" s="1">
        <f t="shared" si="1"/>
        <v>20.002045454545456</v>
      </c>
      <c r="P29" s="1" t="b">
        <f t="shared" si="2"/>
        <v>0</v>
      </c>
      <c r="Q29" s="1">
        <f t="shared" si="3"/>
        <v>42.316410256410251</v>
      </c>
      <c r="S29" s="1">
        <f t="shared" si="4"/>
        <v>888.8888888888888</v>
      </c>
      <c r="T29" s="1" t="b">
        <f t="shared" si="5"/>
        <v>0</v>
      </c>
    </row>
    <row r="30" spans="1:20" x14ac:dyDescent="0.25">
      <c r="A30" t="s">
        <v>46</v>
      </c>
      <c r="C30">
        <v>22</v>
      </c>
      <c r="E30">
        <v>13</v>
      </c>
      <c r="F30" t="s">
        <v>41</v>
      </c>
      <c r="G30" t="s">
        <v>41</v>
      </c>
      <c r="H30" s="4">
        <v>7.4999999999999997E-3</v>
      </c>
      <c r="I30" s="4">
        <v>7.4999999999999997E-3</v>
      </c>
      <c r="J30" t="s">
        <v>91</v>
      </c>
      <c r="K30">
        <v>6</v>
      </c>
      <c r="M30" s="1" t="b">
        <f t="shared" si="0"/>
        <v>0</v>
      </c>
      <c r="N30" s="1">
        <f t="shared" si="1"/>
        <v>20.002045454545456</v>
      </c>
      <c r="P30" s="1" t="b">
        <f t="shared" si="2"/>
        <v>0</v>
      </c>
      <c r="Q30" s="1">
        <f t="shared" si="3"/>
        <v>42.316410256410251</v>
      </c>
      <c r="S30" s="1">
        <f t="shared" si="4"/>
        <v>888.8888888888888</v>
      </c>
      <c r="T30" s="1" t="b">
        <f t="shared" si="5"/>
        <v>0</v>
      </c>
    </row>
    <row r="31" spans="1:20" x14ac:dyDescent="0.25">
      <c r="A31" t="s">
        <v>47</v>
      </c>
      <c r="F31" t="s">
        <v>48</v>
      </c>
      <c r="G31" t="s">
        <v>48</v>
      </c>
      <c r="H31" s="4">
        <v>1.2500000000000001E-2</v>
      </c>
      <c r="I31" s="4">
        <v>1.2500000000000001E-2</v>
      </c>
      <c r="J31" t="s">
        <v>92</v>
      </c>
      <c r="K31">
        <v>7</v>
      </c>
      <c r="M31" s="1" t="b">
        <f t="shared" si="0"/>
        <v>0</v>
      </c>
      <c r="N31" s="1" t="b">
        <f t="shared" si="1"/>
        <v>0</v>
      </c>
      <c r="P31" s="1" t="b">
        <f t="shared" si="2"/>
        <v>0</v>
      </c>
      <c r="Q31" s="1" t="b">
        <f t="shared" si="3"/>
        <v>0</v>
      </c>
      <c r="S31" s="1">
        <f t="shared" si="4"/>
        <v>761.90476190476181</v>
      </c>
      <c r="T31" s="1" t="b">
        <f t="shared" si="5"/>
        <v>0</v>
      </c>
    </row>
    <row r="32" spans="1:20" customFormat="1" x14ac:dyDescent="0.25">
      <c r="A32" t="s">
        <v>50</v>
      </c>
      <c r="C32">
        <v>22</v>
      </c>
      <c r="E32">
        <v>13</v>
      </c>
      <c r="F32" t="s">
        <v>51</v>
      </c>
      <c r="G32" t="s">
        <v>51</v>
      </c>
      <c r="H32" s="4">
        <v>1.2500000000000001E-2</v>
      </c>
      <c r="I32" s="4">
        <v>1.2500000000000001E-2</v>
      </c>
      <c r="K32">
        <v>7</v>
      </c>
      <c r="M32" s="1" t="b">
        <f t="shared" si="0"/>
        <v>0</v>
      </c>
      <c r="N32" s="1">
        <f t="shared" si="1"/>
        <v>20.002045454545456</v>
      </c>
      <c r="O32" s="1"/>
      <c r="P32" s="1" t="b">
        <f t="shared" si="2"/>
        <v>0</v>
      </c>
      <c r="Q32" s="1">
        <f t="shared" si="3"/>
        <v>42.316410256410251</v>
      </c>
      <c r="R32" s="1"/>
      <c r="S32" s="1">
        <f t="shared" si="4"/>
        <v>761.90476190476181</v>
      </c>
      <c r="T32" s="1" t="b">
        <f t="shared" si="5"/>
        <v>0</v>
      </c>
    </row>
    <row r="33" spans="1:21" x14ac:dyDescent="0.25">
      <c r="A33" t="s">
        <v>52</v>
      </c>
      <c r="C33">
        <v>22</v>
      </c>
      <c r="E33">
        <v>13</v>
      </c>
      <c r="F33" t="s">
        <v>51</v>
      </c>
      <c r="G33" t="s">
        <v>51</v>
      </c>
      <c r="H33" s="4">
        <v>1.2500000000000001E-2</v>
      </c>
      <c r="I33" s="4">
        <v>1.2500000000000001E-2</v>
      </c>
      <c r="K33">
        <v>7</v>
      </c>
      <c r="M33" s="1" t="b">
        <f t="shared" si="0"/>
        <v>0</v>
      </c>
      <c r="N33" s="1">
        <f t="shared" si="1"/>
        <v>20.002045454545456</v>
      </c>
      <c r="P33" s="1" t="b">
        <f t="shared" si="2"/>
        <v>0</v>
      </c>
      <c r="Q33" s="1">
        <f t="shared" si="3"/>
        <v>42.316410256410251</v>
      </c>
      <c r="S33" s="1">
        <f t="shared" si="4"/>
        <v>761.90476190476181</v>
      </c>
      <c r="T33" s="1" t="b">
        <f t="shared" si="5"/>
        <v>0</v>
      </c>
    </row>
    <row r="34" spans="1:21" x14ac:dyDescent="0.25">
      <c r="A34" t="s">
        <v>53</v>
      </c>
      <c r="F34" t="s">
        <v>51</v>
      </c>
      <c r="G34" t="s">
        <v>51</v>
      </c>
      <c r="H34" s="4">
        <v>1.2500000000000001E-2</v>
      </c>
      <c r="I34" s="4">
        <v>1.2500000000000001E-2</v>
      </c>
      <c r="K34">
        <v>7</v>
      </c>
      <c r="M34" s="1" t="b">
        <f t="shared" si="0"/>
        <v>0</v>
      </c>
      <c r="N34" s="1" t="b">
        <f t="shared" si="1"/>
        <v>0</v>
      </c>
      <c r="P34" s="1" t="b">
        <f t="shared" si="2"/>
        <v>0</v>
      </c>
      <c r="Q34" s="1" t="b">
        <f t="shared" si="3"/>
        <v>0</v>
      </c>
      <c r="S34" s="1">
        <f t="shared" si="4"/>
        <v>761.90476190476181</v>
      </c>
      <c r="T34" s="1" t="b">
        <f t="shared" si="5"/>
        <v>0</v>
      </c>
    </row>
    <row r="35" spans="1:21" x14ac:dyDescent="0.25">
      <c r="A35" t="s">
        <v>54</v>
      </c>
      <c r="C35">
        <v>22</v>
      </c>
      <c r="E35">
        <v>13</v>
      </c>
      <c r="F35" t="s">
        <v>51</v>
      </c>
      <c r="G35" t="s">
        <v>51</v>
      </c>
      <c r="H35" s="4">
        <v>1.2500000000000001E-2</v>
      </c>
      <c r="I35" s="4">
        <v>1.2500000000000001E-2</v>
      </c>
      <c r="K35">
        <v>7</v>
      </c>
      <c r="M35" s="1" t="b">
        <f t="shared" ref="M35:M62" si="12">IF(B35&gt;0,M$2/B35)</f>
        <v>0</v>
      </c>
      <c r="N35" s="1">
        <f t="shared" ref="N35:N62" si="13">IF(C35&gt;0,N$2/C35)</f>
        <v>20.002045454545456</v>
      </c>
      <c r="P35" s="1" t="b">
        <f t="shared" ref="P35:P62" si="14">IF(D35&gt;0,P$2/D35)</f>
        <v>0</v>
      </c>
      <c r="Q35" s="1">
        <f t="shared" ref="Q35:Q62" si="15">IF(E35&gt;0,Q$2/E35)</f>
        <v>42.316410256410251</v>
      </c>
      <c r="S35" s="1">
        <f t="shared" si="4"/>
        <v>761.90476190476181</v>
      </c>
      <c r="T35" s="1" t="b">
        <f t="shared" si="5"/>
        <v>0</v>
      </c>
    </row>
    <row r="36" spans="1:21" x14ac:dyDescent="0.25">
      <c r="A36" t="s">
        <v>55</v>
      </c>
      <c r="F36" t="s">
        <v>56</v>
      </c>
      <c r="G36" t="s">
        <v>56</v>
      </c>
      <c r="H36" s="4">
        <v>1.2500000000000001E-2</v>
      </c>
      <c r="I36" s="4">
        <v>1.2500000000000001E-2</v>
      </c>
      <c r="K36">
        <v>7</v>
      </c>
      <c r="M36" s="1" t="b">
        <f t="shared" si="12"/>
        <v>0</v>
      </c>
      <c r="N36" s="1" t="b">
        <f t="shared" si="13"/>
        <v>0</v>
      </c>
      <c r="P36" s="1" t="b">
        <f t="shared" si="14"/>
        <v>0</v>
      </c>
      <c r="Q36" s="1" t="b">
        <f t="shared" si="15"/>
        <v>0</v>
      </c>
      <c r="S36" s="1">
        <f t="shared" si="4"/>
        <v>761.90476190476181</v>
      </c>
      <c r="T36" s="1" t="b">
        <f t="shared" si="5"/>
        <v>0</v>
      </c>
    </row>
    <row r="37" spans="1:21" x14ac:dyDescent="0.25">
      <c r="A37" t="s">
        <v>57</v>
      </c>
      <c r="E37">
        <v>13</v>
      </c>
      <c r="F37" t="s">
        <v>86</v>
      </c>
      <c r="G37" t="s">
        <v>86</v>
      </c>
      <c r="H37" s="4">
        <v>0.01</v>
      </c>
      <c r="I37" s="4">
        <v>0.01</v>
      </c>
      <c r="K37">
        <v>8</v>
      </c>
      <c r="M37" s="1" t="b">
        <f>IF(B37&gt;0,M$2/B37)</f>
        <v>0</v>
      </c>
      <c r="N37" s="1" t="b">
        <f>IF(C37&gt;0,N$2/C37)</f>
        <v>0</v>
      </c>
      <c r="P37" s="1" t="b">
        <f>IF(D37&gt;0,P$2/D37)</f>
        <v>0</v>
      </c>
      <c r="Q37" s="1">
        <f>IF(E37&gt;0,Q$2/E37)</f>
        <v>42.316410256410251</v>
      </c>
      <c r="S37" s="1">
        <f>IF(K37&gt;0,S$2/K37)</f>
        <v>666.66666666666663</v>
      </c>
      <c r="T37" s="1" t="b">
        <f>IF(L37&gt;0,T$2/L37)</f>
        <v>0</v>
      </c>
    </row>
    <row r="38" spans="1:21" x14ac:dyDescent="0.25">
      <c r="A38" t="s">
        <v>84</v>
      </c>
      <c r="B38">
        <v>5</v>
      </c>
      <c r="D38">
        <v>6</v>
      </c>
      <c r="F38" t="s">
        <v>86</v>
      </c>
      <c r="G38" t="s">
        <v>86</v>
      </c>
      <c r="H38" s="4">
        <v>0.01</v>
      </c>
      <c r="I38" s="4">
        <v>0.01</v>
      </c>
      <c r="M38" s="1">
        <f t="shared" ref="M38:M40" si="16">IF(B38&gt;0,M$2/B38)</f>
        <v>29.342200600000002</v>
      </c>
      <c r="N38" s="1" t="b">
        <f t="shared" ref="N38:N40" si="17">IF(C38&gt;0,N$2/C38)</f>
        <v>0</v>
      </c>
      <c r="P38" s="1">
        <f t="shared" ref="P38:P40" si="18">IF(D38&gt;0,P$2/D38)</f>
        <v>18.33711111111111</v>
      </c>
      <c r="Q38" s="1" t="b">
        <f t="shared" ref="Q38:Q40" si="19">IF(E38&gt;0,Q$2/E38)</f>
        <v>0</v>
      </c>
      <c r="S38" s="1" t="b">
        <f t="shared" ref="S38:S40" si="20">IF(K38&gt;0,S$2/K38)</f>
        <v>0</v>
      </c>
      <c r="T38" s="1" t="b">
        <f t="shared" ref="T38:T40" si="21">IF(L38&gt;0,T$2/L38)</f>
        <v>0</v>
      </c>
    </row>
    <row r="39" spans="1:21" x14ac:dyDescent="0.25">
      <c r="A39" t="s">
        <v>80</v>
      </c>
      <c r="B39">
        <v>5</v>
      </c>
      <c r="D39">
        <v>6</v>
      </c>
      <c r="F39" t="s">
        <v>86</v>
      </c>
      <c r="G39" t="s">
        <v>86</v>
      </c>
      <c r="H39" s="4">
        <v>0.01</v>
      </c>
      <c r="I39" s="4">
        <v>0.01</v>
      </c>
      <c r="K39">
        <v>8</v>
      </c>
      <c r="M39" s="1">
        <f t="shared" si="16"/>
        <v>29.342200600000002</v>
      </c>
      <c r="N39" s="1" t="b">
        <f t="shared" si="17"/>
        <v>0</v>
      </c>
      <c r="P39" s="1">
        <f t="shared" si="18"/>
        <v>18.33711111111111</v>
      </c>
      <c r="Q39" s="1" t="b">
        <f t="shared" si="19"/>
        <v>0</v>
      </c>
      <c r="S39" s="1">
        <f t="shared" si="20"/>
        <v>666.66666666666663</v>
      </c>
      <c r="T39" s="1" t="b">
        <f t="shared" si="21"/>
        <v>0</v>
      </c>
    </row>
    <row r="40" spans="1:21" x14ac:dyDescent="0.25">
      <c r="A40" t="s">
        <v>85</v>
      </c>
      <c r="B40">
        <v>5</v>
      </c>
      <c r="D40">
        <v>6</v>
      </c>
      <c r="F40" t="s">
        <v>86</v>
      </c>
      <c r="G40" t="s">
        <v>86</v>
      </c>
      <c r="H40" s="4">
        <v>0.01</v>
      </c>
      <c r="I40" s="4">
        <v>0.01</v>
      </c>
      <c r="M40" s="1">
        <f t="shared" si="16"/>
        <v>29.342200600000002</v>
      </c>
      <c r="N40" s="1" t="b">
        <f t="shared" si="17"/>
        <v>0</v>
      </c>
      <c r="P40" s="1">
        <f t="shared" si="18"/>
        <v>18.33711111111111</v>
      </c>
      <c r="Q40" s="1" t="b">
        <f t="shared" si="19"/>
        <v>0</v>
      </c>
      <c r="S40" s="1" t="b">
        <f t="shared" si="20"/>
        <v>0</v>
      </c>
      <c r="T40" s="1" t="b">
        <f t="shared" si="21"/>
        <v>0</v>
      </c>
    </row>
    <row r="41" spans="1:21" x14ac:dyDescent="0.25">
      <c r="A41" t="s">
        <v>81</v>
      </c>
      <c r="B41">
        <v>5</v>
      </c>
      <c r="D41">
        <v>6</v>
      </c>
      <c r="F41" t="s">
        <v>86</v>
      </c>
      <c r="G41" t="s">
        <v>86</v>
      </c>
      <c r="H41" s="4">
        <v>0.01</v>
      </c>
      <c r="I41" s="4">
        <v>0.01</v>
      </c>
      <c r="K41">
        <v>8</v>
      </c>
      <c r="M41" s="1">
        <f t="shared" ref="M41:N46" si="22">IF(B41&gt;0,M$2/B41)</f>
        <v>29.342200600000002</v>
      </c>
      <c r="N41" s="1" t="b">
        <f t="shared" si="22"/>
        <v>0</v>
      </c>
      <c r="P41" s="1">
        <f t="shared" ref="P41:Q46" si="23">IF(D41&gt;0,P$2/D41)</f>
        <v>18.33711111111111</v>
      </c>
      <c r="Q41" s="1" t="b">
        <f t="shared" si="23"/>
        <v>0</v>
      </c>
      <c r="S41" s="1">
        <f t="shared" ref="S41:T46" si="24">IF(K41&gt;0,S$2/K41)</f>
        <v>666.66666666666663</v>
      </c>
      <c r="T41" s="1" t="b">
        <f t="shared" si="24"/>
        <v>0</v>
      </c>
    </row>
    <row r="42" spans="1:21" x14ac:dyDescent="0.25">
      <c r="A42" t="s">
        <v>58</v>
      </c>
      <c r="D42">
        <v>6</v>
      </c>
      <c r="F42" t="s">
        <v>86</v>
      </c>
      <c r="G42" t="s">
        <v>86</v>
      </c>
      <c r="H42" s="4">
        <v>0.01</v>
      </c>
      <c r="I42" s="4">
        <v>0.01</v>
      </c>
      <c r="J42" t="s">
        <v>11</v>
      </c>
      <c r="K42">
        <v>8</v>
      </c>
      <c r="M42" s="1" t="b">
        <f t="shared" si="22"/>
        <v>0</v>
      </c>
      <c r="N42" s="1" t="b">
        <f t="shared" si="22"/>
        <v>0</v>
      </c>
      <c r="P42" s="1">
        <f t="shared" si="23"/>
        <v>18.33711111111111</v>
      </c>
      <c r="Q42" s="1" t="b">
        <f t="shared" si="23"/>
        <v>0</v>
      </c>
      <c r="S42" s="1">
        <f t="shared" si="24"/>
        <v>666.66666666666663</v>
      </c>
      <c r="T42" s="1" t="b">
        <f t="shared" si="24"/>
        <v>0</v>
      </c>
    </row>
    <row r="43" spans="1:21" x14ac:dyDescent="0.25">
      <c r="A43" t="s">
        <v>82</v>
      </c>
      <c r="B43">
        <v>5</v>
      </c>
      <c r="D43">
        <v>6</v>
      </c>
      <c r="F43" t="s">
        <v>86</v>
      </c>
      <c r="G43" t="s">
        <v>86</v>
      </c>
      <c r="H43" s="4">
        <v>0.01</v>
      </c>
      <c r="I43" s="4">
        <v>0.01</v>
      </c>
      <c r="K43">
        <v>8</v>
      </c>
      <c r="M43" s="1">
        <f t="shared" si="22"/>
        <v>29.342200600000002</v>
      </c>
      <c r="N43" s="1" t="b">
        <f t="shared" si="22"/>
        <v>0</v>
      </c>
      <c r="P43" s="1">
        <f t="shared" si="23"/>
        <v>18.33711111111111</v>
      </c>
      <c r="Q43" s="1" t="b">
        <f t="shared" si="23"/>
        <v>0</v>
      </c>
      <c r="S43" s="1">
        <f t="shared" si="24"/>
        <v>666.66666666666663</v>
      </c>
      <c r="T43" s="1" t="b">
        <f t="shared" si="24"/>
        <v>0</v>
      </c>
    </row>
    <row r="44" spans="1:21" x14ac:dyDescent="0.25">
      <c r="A44" t="s">
        <v>59</v>
      </c>
      <c r="C44">
        <v>22</v>
      </c>
      <c r="E44">
        <v>13</v>
      </c>
      <c r="F44" t="s">
        <v>86</v>
      </c>
      <c r="G44" t="s">
        <v>86</v>
      </c>
      <c r="H44" s="4">
        <v>0.01</v>
      </c>
      <c r="I44" s="4">
        <v>0.01</v>
      </c>
      <c r="K44">
        <v>8</v>
      </c>
      <c r="M44" s="1" t="b">
        <f t="shared" si="22"/>
        <v>0</v>
      </c>
      <c r="N44" s="1">
        <f t="shared" si="22"/>
        <v>20.002045454545456</v>
      </c>
      <c r="P44" s="1" t="b">
        <f t="shared" si="23"/>
        <v>0</v>
      </c>
      <c r="Q44" s="1">
        <f t="shared" si="23"/>
        <v>42.316410256410251</v>
      </c>
      <c r="S44" s="1">
        <f t="shared" si="24"/>
        <v>666.66666666666663</v>
      </c>
      <c r="T44" s="1" t="b">
        <f t="shared" si="24"/>
        <v>0</v>
      </c>
    </row>
    <row r="45" spans="1:21" x14ac:dyDescent="0.25">
      <c r="A45" t="s">
        <v>60</v>
      </c>
      <c r="F45" t="s">
        <v>86</v>
      </c>
      <c r="G45" t="s">
        <v>86</v>
      </c>
      <c r="H45" s="4">
        <v>0.01</v>
      </c>
      <c r="I45" s="4">
        <v>0.01</v>
      </c>
      <c r="J45" t="s">
        <v>61</v>
      </c>
      <c r="K45">
        <v>8</v>
      </c>
      <c r="M45" s="1" t="b">
        <f t="shared" si="22"/>
        <v>0</v>
      </c>
      <c r="N45" s="1" t="b">
        <f t="shared" si="22"/>
        <v>0</v>
      </c>
      <c r="P45" s="1" t="b">
        <f t="shared" si="23"/>
        <v>0</v>
      </c>
      <c r="Q45" s="1" t="b">
        <f t="shared" si="23"/>
        <v>0</v>
      </c>
      <c r="S45" s="1">
        <f t="shared" si="24"/>
        <v>666.66666666666663</v>
      </c>
      <c r="T45" s="1" t="b">
        <f t="shared" si="24"/>
        <v>0</v>
      </c>
    </row>
    <row r="46" spans="1:21" x14ac:dyDescent="0.25">
      <c r="A46" t="s">
        <v>62</v>
      </c>
      <c r="C46">
        <v>22</v>
      </c>
      <c r="E46">
        <v>13</v>
      </c>
      <c r="F46" t="s">
        <v>86</v>
      </c>
      <c r="G46" t="s">
        <v>86</v>
      </c>
      <c r="H46" s="4">
        <v>0.01</v>
      </c>
      <c r="I46" s="4">
        <v>0.01</v>
      </c>
      <c r="J46" t="s">
        <v>11</v>
      </c>
      <c r="K46">
        <v>8</v>
      </c>
      <c r="M46" s="1" t="b">
        <f t="shared" si="22"/>
        <v>0</v>
      </c>
      <c r="N46" s="1">
        <f t="shared" si="22"/>
        <v>20.002045454545456</v>
      </c>
      <c r="P46" s="1" t="b">
        <f t="shared" si="23"/>
        <v>0</v>
      </c>
      <c r="Q46" s="1">
        <f t="shared" si="23"/>
        <v>42.316410256410251</v>
      </c>
      <c r="S46" s="1">
        <f t="shared" si="24"/>
        <v>666.66666666666663</v>
      </c>
      <c r="T46" s="1" t="b">
        <f t="shared" si="24"/>
        <v>0</v>
      </c>
    </row>
    <row r="47" spans="1:21" x14ac:dyDescent="0.25">
      <c r="A47" t="s">
        <v>63</v>
      </c>
      <c r="E47">
        <v>13</v>
      </c>
      <c r="M47" s="1" t="b">
        <f t="shared" si="12"/>
        <v>0</v>
      </c>
      <c r="N47" s="1" t="b">
        <f t="shared" si="13"/>
        <v>0</v>
      </c>
      <c r="P47" s="1" t="b">
        <f t="shared" si="14"/>
        <v>0</v>
      </c>
      <c r="Q47" s="1">
        <f t="shared" si="15"/>
        <v>42.316410256410251</v>
      </c>
      <c r="S47" s="1" t="b">
        <f t="shared" si="4"/>
        <v>0</v>
      </c>
      <c r="T47" s="1" t="b">
        <f t="shared" si="5"/>
        <v>0</v>
      </c>
    </row>
    <row r="48" spans="1:21" x14ac:dyDescent="0.25">
      <c r="A48" t="s">
        <v>64</v>
      </c>
      <c r="C48">
        <v>22</v>
      </c>
      <c r="M48" s="1" t="b">
        <f t="shared" si="12"/>
        <v>0</v>
      </c>
      <c r="N48" s="1">
        <f t="shared" si="13"/>
        <v>20.002045454545456</v>
      </c>
      <c r="P48" s="1" t="b">
        <f t="shared" si="14"/>
        <v>0</v>
      </c>
      <c r="Q48" s="1" t="b">
        <f t="shared" si="15"/>
        <v>0</v>
      </c>
      <c r="S48" s="1" t="b">
        <f t="shared" si="4"/>
        <v>0</v>
      </c>
      <c r="T48" s="1" t="b">
        <f t="shared" si="5"/>
        <v>0</v>
      </c>
      <c r="U48"/>
    </row>
    <row r="49" spans="1:21" x14ac:dyDescent="0.25">
      <c r="A49" t="s">
        <v>65</v>
      </c>
      <c r="C49">
        <v>22</v>
      </c>
      <c r="M49" s="1" t="b">
        <f t="shared" si="12"/>
        <v>0</v>
      </c>
      <c r="N49" s="1">
        <f t="shared" si="13"/>
        <v>20.002045454545456</v>
      </c>
      <c r="P49" s="1" t="b">
        <f t="shared" si="14"/>
        <v>0</v>
      </c>
      <c r="Q49" s="1" t="b">
        <f t="shared" si="15"/>
        <v>0</v>
      </c>
      <c r="S49" s="1" t="b">
        <f t="shared" si="4"/>
        <v>0</v>
      </c>
      <c r="T49" s="1" t="b">
        <f t="shared" si="5"/>
        <v>0</v>
      </c>
      <c r="U49"/>
    </row>
    <row r="50" spans="1:21" x14ac:dyDescent="0.25">
      <c r="A50" t="s">
        <v>66</v>
      </c>
      <c r="C50">
        <v>22</v>
      </c>
      <c r="M50" s="1" t="b">
        <f t="shared" si="12"/>
        <v>0</v>
      </c>
      <c r="N50" s="1">
        <f t="shared" si="13"/>
        <v>20.002045454545456</v>
      </c>
      <c r="P50" s="1" t="b">
        <f t="shared" si="14"/>
        <v>0</v>
      </c>
      <c r="Q50" s="1" t="b">
        <f t="shared" si="15"/>
        <v>0</v>
      </c>
      <c r="S50" s="1" t="b">
        <f t="shared" si="4"/>
        <v>0</v>
      </c>
      <c r="T50" s="1" t="b">
        <f t="shared" si="5"/>
        <v>0</v>
      </c>
      <c r="U50"/>
    </row>
    <row r="51" spans="1:21" x14ac:dyDescent="0.25">
      <c r="A51" t="s">
        <v>67</v>
      </c>
      <c r="C51">
        <v>22</v>
      </c>
      <c r="M51" s="1" t="b">
        <f t="shared" si="12"/>
        <v>0</v>
      </c>
      <c r="N51" s="1">
        <f t="shared" si="13"/>
        <v>20.002045454545456</v>
      </c>
      <c r="P51" s="1" t="b">
        <f t="shared" si="14"/>
        <v>0</v>
      </c>
      <c r="Q51" s="1" t="b">
        <f t="shared" si="15"/>
        <v>0</v>
      </c>
      <c r="S51" s="1" t="b">
        <f t="shared" si="4"/>
        <v>0</v>
      </c>
      <c r="T51" s="1" t="b">
        <f t="shared" si="5"/>
        <v>0</v>
      </c>
      <c r="U51"/>
    </row>
    <row r="52" spans="1:21" x14ac:dyDescent="0.25">
      <c r="A52" t="s">
        <v>68</v>
      </c>
      <c r="C52">
        <v>22</v>
      </c>
      <c r="M52" s="1" t="b">
        <f t="shared" si="12"/>
        <v>0</v>
      </c>
      <c r="N52" s="1">
        <f t="shared" si="13"/>
        <v>20.002045454545456</v>
      </c>
      <c r="P52" s="1" t="b">
        <f t="shared" si="14"/>
        <v>0</v>
      </c>
      <c r="Q52" s="1" t="b">
        <f t="shared" si="15"/>
        <v>0</v>
      </c>
      <c r="S52" s="1" t="b">
        <f t="shared" si="4"/>
        <v>0</v>
      </c>
      <c r="T52" s="1" t="b">
        <f t="shared" si="5"/>
        <v>0</v>
      </c>
      <c r="U52"/>
    </row>
    <row r="53" spans="1:21" x14ac:dyDescent="0.25">
      <c r="A53" t="s">
        <v>69</v>
      </c>
      <c r="C53">
        <v>22</v>
      </c>
      <c r="M53" s="1" t="b">
        <f t="shared" si="12"/>
        <v>0</v>
      </c>
      <c r="N53" s="1">
        <f t="shared" si="13"/>
        <v>20.002045454545456</v>
      </c>
      <c r="P53" s="1" t="b">
        <f t="shared" si="14"/>
        <v>0</v>
      </c>
      <c r="Q53" s="1" t="b">
        <f t="shared" si="15"/>
        <v>0</v>
      </c>
      <c r="S53" s="1" t="b">
        <f t="shared" si="4"/>
        <v>0</v>
      </c>
      <c r="T53" s="1" t="b">
        <f t="shared" si="5"/>
        <v>0</v>
      </c>
      <c r="U53"/>
    </row>
    <row r="54" spans="1:21" x14ac:dyDescent="0.25">
      <c r="A54" t="s">
        <v>70</v>
      </c>
      <c r="C54">
        <v>22</v>
      </c>
      <c r="M54" s="1" t="b">
        <f t="shared" si="12"/>
        <v>0</v>
      </c>
      <c r="N54" s="1">
        <f t="shared" si="13"/>
        <v>20.002045454545456</v>
      </c>
      <c r="P54" s="1" t="b">
        <f t="shared" si="14"/>
        <v>0</v>
      </c>
      <c r="Q54" s="1" t="b">
        <f t="shared" si="15"/>
        <v>0</v>
      </c>
      <c r="S54" s="1" t="b">
        <f t="shared" si="4"/>
        <v>0</v>
      </c>
      <c r="T54" s="1" t="b">
        <f t="shared" si="5"/>
        <v>0</v>
      </c>
      <c r="U54"/>
    </row>
    <row r="55" spans="1:21" x14ac:dyDescent="0.25">
      <c r="A55" t="s">
        <v>71</v>
      </c>
      <c r="C55">
        <v>22</v>
      </c>
      <c r="M55" s="1" t="b">
        <f t="shared" si="12"/>
        <v>0</v>
      </c>
      <c r="N55" s="1">
        <f t="shared" si="13"/>
        <v>20.002045454545456</v>
      </c>
      <c r="P55" s="1" t="b">
        <f t="shared" si="14"/>
        <v>0</v>
      </c>
      <c r="Q55" s="1" t="b">
        <f t="shared" si="15"/>
        <v>0</v>
      </c>
      <c r="S55" s="1" t="b">
        <f t="shared" si="4"/>
        <v>0</v>
      </c>
      <c r="T55" s="1" t="b">
        <f t="shared" si="5"/>
        <v>0</v>
      </c>
      <c r="U55"/>
    </row>
    <row r="56" spans="1:21" x14ac:dyDescent="0.25">
      <c r="A56" t="s">
        <v>72</v>
      </c>
      <c r="C56">
        <v>22</v>
      </c>
      <c r="M56" s="1" t="b">
        <f t="shared" si="12"/>
        <v>0</v>
      </c>
      <c r="N56" s="1">
        <f t="shared" si="13"/>
        <v>20.002045454545456</v>
      </c>
      <c r="P56" s="1" t="b">
        <f t="shared" si="14"/>
        <v>0</v>
      </c>
      <c r="Q56" s="1" t="b">
        <f t="shared" si="15"/>
        <v>0</v>
      </c>
      <c r="S56" s="1" t="b">
        <f t="shared" si="4"/>
        <v>0</v>
      </c>
      <c r="T56" s="1" t="b">
        <f t="shared" si="5"/>
        <v>0</v>
      </c>
      <c r="U56"/>
    </row>
    <row r="57" spans="1:21" x14ac:dyDescent="0.25">
      <c r="A57" t="s">
        <v>73</v>
      </c>
      <c r="M57" s="1" t="b">
        <f t="shared" si="12"/>
        <v>0</v>
      </c>
      <c r="N57" s="1" t="b">
        <f t="shared" si="13"/>
        <v>0</v>
      </c>
      <c r="P57" s="1" t="b">
        <f t="shared" si="14"/>
        <v>0</v>
      </c>
      <c r="Q57" s="1" t="b">
        <f t="shared" si="15"/>
        <v>0</v>
      </c>
      <c r="S57" s="1" t="b">
        <f t="shared" si="4"/>
        <v>0</v>
      </c>
      <c r="T57" s="1" t="b">
        <f t="shared" si="5"/>
        <v>0</v>
      </c>
      <c r="U57"/>
    </row>
    <row r="58" spans="1:21" x14ac:dyDescent="0.25">
      <c r="A58" t="s">
        <v>74</v>
      </c>
      <c r="M58" s="1" t="b">
        <f t="shared" si="12"/>
        <v>0</v>
      </c>
      <c r="N58" s="1" t="b">
        <f t="shared" si="13"/>
        <v>0</v>
      </c>
      <c r="P58" s="1" t="b">
        <f t="shared" si="14"/>
        <v>0</v>
      </c>
      <c r="Q58" s="1" t="b">
        <f t="shared" si="15"/>
        <v>0</v>
      </c>
      <c r="S58" s="1" t="b">
        <f t="shared" si="4"/>
        <v>0</v>
      </c>
      <c r="T58" s="1" t="b">
        <f t="shared" si="5"/>
        <v>0</v>
      </c>
      <c r="U58"/>
    </row>
    <row r="59" spans="1:21" x14ac:dyDescent="0.25">
      <c r="A59" t="s">
        <v>75</v>
      </c>
      <c r="C59">
        <v>22</v>
      </c>
      <c r="M59" s="1" t="b">
        <f t="shared" si="12"/>
        <v>0</v>
      </c>
      <c r="N59" s="1">
        <f t="shared" si="13"/>
        <v>20.002045454545456</v>
      </c>
      <c r="P59" s="1" t="b">
        <f t="shared" si="14"/>
        <v>0</v>
      </c>
      <c r="Q59" s="1" t="b">
        <f t="shared" si="15"/>
        <v>0</v>
      </c>
      <c r="S59" s="1" t="b">
        <f t="shared" si="4"/>
        <v>0</v>
      </c>
      <c r="T59" s="1" t="b">
        <f t="shared" si="5"/>
        <v>0</v>
      </c>
      <c r="U59"/>
    </row>
    <row r="60" spans="1:21" x14ac:dyDescent="0.25">
      <c r="A60" t="s">
        <v>76</v>
      </c>
      <c r="J60" t="s">
        <v>88</v>
      </c>
      <c r="M60" s="1" t="b">
        <f t="shared" si="12"/>
        <v>0</v>
      </c>
      <c r="N60" s="1" t="b">
        <f t="shared" si="13"/>
        <v>0</v>
      </c>
      <c r="P60" s="1" t="b">
        <f t="shared" si="14"/>
        <v>0</v>
      </c>
      <c r="Q60" s="1" t="b">
        <f t="shared" si="15"/>
        <v>0</v>
      </c>
      <c r="S60" s="1" t="b">
        <f t="shared" si="4"/>
        <v>0</v>
      </c>
      <c r="T60" s="1" t="b">
        <f t="shared" si="5"/>
        <v>0</v>
      </c>
      <c r="U60"/>
    </row>
    <row r="61" spans="1:21" x14ac:dyDescent="0.25">
      <c r="A61" t="s">
        <v>49</v>
      </c>
      <c r="J61" t="s">
        <v>87</v>
      </c>
      <c r="M61" s="1" t="b">
        <f t="shared" ref="M61" si="25">IF(B61&gt;0,M$2/B61)</f>
        <v>0</v>
      </c>
      <c r="N61" s="1" t="b">
        <f t="shared" ref="N61" si="26">IF(C61&gt;0,N$2/C61)</f>
        <v>0</v>
      </c>
      <c r="P61" s="1" t="b">
        <f t="shared" ref="P61" si="27">IF(D61&gt;0,P$2/D61)</f>
        <v>0</v>
      </c>
      <c r="Q61" s="1" t="b">
        <f t="shared" ref="Q61" si="28">IF(E61&gt;0,Q$2/E61)</f>
        <v>0</v>
      </c>
      <c r="S61" s="1" t="b">
        <f t="shared" ref="S61" si="29">IF(K61&gt;0,S$2/K61)</f>
        <v>0</v>
      </c>
      <c r="T61" s="1" t="b">
        <f t="shared" ref="T61" si="30">IF(L61&gt;0,T$2/L61)</f>
        <v>0</v>
      </c>
      <c r="U61"/>
    </row>
    <row r="62" spans="1:21" x14ac:dyDescent="0.25">
      <c r="A62" t="s">
        <v>77</v>
      </c>
      <c r="C62">
        <v>22</v>
      </c>
      <c r="M62" s="1" t="b">
        <f t="shared" si="12"/>
        <v>0</v>
      </c>
      <c r="N62" s="1">
        <f t="shared" si="13"/>
        <v>20.002045454545456</v>
      </c>
      <c r="P62" s="1" t="b">
        <f t="shared" si="14"/>
        <v>0</v>
      </c>
      <c r="Q62" s="1" t="b">
        <f t="shared" si="15"/>
        <v>0</v>
      </c>
      <c r="S62" s="1" t="b">
        <f t="shared" si="4"/>
        <v>0</v>
      </c>
      <c r="T62" s="1" t="b">
        <f t="shared" si="5"/>
        <v>0</v>
      </c>
      <c r="U62"/>
    </row>
  </sheetData>
  <sortState ref="A37:T46">
    <sortCondition ref="A46"/>
  </sortState>
  <pageMargins left="0.7" right="0.7" top="0.75" bottom="0.75" header="0.3" footer="0.3"/>
  <pageSetup orientation="portrait" r:id="rId1"/>
  <ignoredErrors>
    <ignoredError sqref="O1 R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</cp:lastModifiedBy>
  <dcterms:created xsi:type="dcterms:W3CDTF">2026-01-06T22:06:02Z</dcterms:created>
  <dcterms:modified xsi:type="dcterms:W3CDTF">2026-04-16T23:01:23Z</dcterms:modified>
</cp:coreProperties>
</file>